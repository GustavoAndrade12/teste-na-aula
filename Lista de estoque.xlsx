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bookViews>
    <workbookView xWindow="0" yWindow="0" windowWidth="21600" windowHeight="9630" firstSheet="1" activeTab="1"/>
  </bookViews>
  <sheets>
    <sheet name="Planilha1" sheetId="1" state="hidden" r:id="rId1"/>
    <sheet name="Planilha2" sheetId="2" r:id="rId2"/>
  </sheets>
  <definedNames>
    <definedName name="database">Planilha1!$A$1:$D$41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B3" i="2"/>
  <c r="B4" i="2"/>
  <c r="B5" i="2"/>
  <c r="B6" i="2"/>
  <c r="B7" i="2"/>
  <c r="B8" i="2"/>
  <c r="B9" i="2"/>
  <c r="B10" i="2"/>
  <c r="B11" i="2"/>
  <c r="B12" i="2"/>
</calcChain>
</file>

<file path=xl/sharedStrings.xml><?xml version="1.0" encoding="utf-8"?>
<sst xmlns="http://schemas.openxmlformats.org/spreadsheetml/2006/main" count="93" uniqueCount="88">
  <si>
    <t>Código</t>
  </si>
  <si>
    <t>Produto</t>
  </si>
  <si>
    <t>Custo Unitário (R$)</t>
  </si>
  <si>
    <t>HW-001</t>
  </si>
  <si>
    <t>SSD 1TB NVMe</t>
  </si>
  <si>
    <t>HW-002</t>
  </si>
  <si>
    <t>Memória RAM 16GB DDR4</t>
  </si>
  <si>
    <t>HW-003</t>
  </si>
  <si>
    <t>Processador Core i5 12ª Geração</t>
  </si>
  <si>
    <t>HW-004</t>
  </si>
  <si>
    <t>Processador Ryzen 5 5600X</t>
  </si>
  <si>
    <t>HW-005</t>
  </si>
  <si>
    <t>Placa-Mãe B550M</t>
  </si>
  <si>
    <t>HW-006</t>
  </si>
  <si>
    <t>Placa de Vídeo RTX 3060 12GB</t>
  </si>
  <si>
    <t>HW-007</t>
  </si>
  <si>
    <t>Placa de Vídeo RX 6600 8GB</t>
  </si>
  <si>
    <t>HW-008</t>
  </si>
  <si>
    <t>Fonte de Alimentação 650W 80 Plus</t>
  </si>
  <si>
    <t>HW-009</t>
  </si>
  <si>
    <t>Gabinete ATX com Vidro Temperado</t>
  </si>
  <si>
    <t>HW-010</t>
  </si>
  <si>
    <t>Cooler para Processador RGB</t>
  </si>
  <si>
    <t>HW-011</t>
  </si>
  <si>
    <t>Water Cooler 240mm</t>
  </si>
  <si>
    <t>HW-012</t>
  </si>
  <si>
    <t>HD Interno 2TB SATA III</t>
  </si>
  <si>
    <t>AC-010</t>
  </si>
  <si>
    <t>Teclado Mecânico Switch Azul</t>
  </si>
  <si>
    <t>AC-011</t>
  </si>
  <si>
    <t>Mouse Óptico Sem Fio</t>
  </si>
  <si>
    <t>AC-012</t>
  </si>
  <si>
    <t>Headset Gamer 7.1 Surround</t>
  </si>
  <si>
    <t>AC-013</t>
  </si>
  <si>
    <t>Webcam Full HD 1080p</t>
  </si>
  <si>
    <t>AC-014</t>
  </si>
  <si>
    <t>Mousepad Gigante (90x40cm)</t>
  </si>
  <si>
    <t>AC-015</t>
  </si>
  <si>
    <t>Suporte Articulado para Monitor</t>
  </si>
  <si>
    <t>AC-016</t>
  </si>
  <si>
    <t>Cadeira Gamer Ergonômica</t>
  </si>
  <si>
    <t>AC-017</t>
  </si>
  <si>
    <t>Microfone Condensador USB</t>
  </si>
  <si>
    <t>AC-018</t>
  </si>
  <si>
    <t>Caixa de Som Bluetooth 2.1</t>
  </si>
  <si>
    <t>AC-019</t>
  </si>
  <si>
    <t>Teclado Padrão ABNT2 Escritório</t>
  </si>
  <si>
    <t>AC-020</t>
  </si>
  <si>
    <t>Pen Drive 64GB USB 3.0</t>
  </si>
  <si>
    <t>NT-100</t>
  </si>
  <si>
    <t>Roteador Wi-Fi 6 Gigabit</t>
  </si>
  <si>
    <t>NT-101</t>
  </si>
  <si>
    <t>Switch de Rede 8 Portas</t>
  </si>
  <si>
    <t>NT-102</t>
  </si>
  <si>
    <t>Cabo de Rede RJ45 Cat6 (10 metros)</t>
  </si>
  <si>
    <t>NT-103</t>
  </si>
  <si>
    <t>Adaptador Wi-Fi USB Dual Band</t>
  </si>
  <si>
    <t>NT-104</t>
  </si>
  <si>
    <t>Repetidor de Sinal Wi-Fi</t>
  </si>
  <si>
    <t>SW-001</t>
  </si>
  <si>
    <t>Licença Sistema Operacional Win 11 Pro</t>
  </si>
  <si>
    <t>SW-002</t>
  </si>
  <si>
    <t>Licença Pacote Office 365 (Anual)</t>
  </si>
  <si>
    <t>SW-003</t>
  </si>
  <si>
    <t>Licença Antivírus Premium (Anual)</t>
  </si>
  <si>
    <t>MO-001</t>
  </si>
  <si>
    <t>Monitor LED 24" Full HD</t>
  </si>
  <si>
    <t>MO-002</t>
  </si>
  <si>
    <t>Monitor Gamer 27" 144Hz</t>
  </si>
  <si>
    <t>MO-003</t>
  </si>
  <si>
    <t>Monitor Ultrawide 29"</t>
  </si>
  <si>
    <t>PR-001</t>
  </si>
  <si>
    <t>Impressora Multifuncional Wi-Fi</t>
  </si>
  <si>
    <t>PR-002</t>
  </si>
  <si>
    <t>Cartucho de Tinta Preto Original</t>
  </si>
  <si>
    <t>PR-003</t>
  </si>
  <si>
    <t>Cartucho de Tinta Colorido Original</t>
  </si>
  <si>
    <t>CB-001</t>
  </si>
  <si>
    <t>Cabo HDMI 2.0 (2 metros)</t>
  </si>
  <si>
    <t>CB-002</t>
  </si>
  <si>
    <t>Adaptador USB-C para HDMI</t>
  </si>
  <si>
    <t>EN-001</t>
  </si>
  <si>
    <t>Nobreak 1200VA</t>
  </si>
  <si>
    <t>Cód. Digitado</t>
  </si>
  <si>
    <t>Produto Retornado</t>
  </si>
  <si>
    <t>Estoque Atual</t>
  </si>
  <si>
    <t>Estoque</t>
  </si>
  <si>
    <r>
      <rPr>
        <sz val="36"/>
        <color theme="0"/>
        <rFont val="Arial"/>
        <family val="2"/>
      </rPr>
      <t>Lista de estoque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</si>
</sst>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i/>
      <sz val="12"/>
      <color rgb="FFF0F6FC"/>
      <name val="Segoe UI"/>
      <family val="2"/>
    </font>
    <font>
      <b/>
      <sz val="12"/>
      <color rgb="FFF0F6FC"/>
      <name val="Segoe UI"/>
      <family val="2"/>
    </font>
    <font>
      <u/>
      <sz val="11"/>
      <color theme="1"/>
      <name val="Calibri"/>
      <family val="2"/>
      <scheme val="minor"/>
    </font>
    <font>
      <sz val="3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66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3D444D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44" fontId="2" fillId="2" borderId="1" xfId="1" applyFont="1" applyFill="1" applyBorder="1" applyAlignment="1">
      <alignment horizontal="left" vertical="center" wrapText="1" indent="1"/>
    </xf>
    <xf numFmtId="44" fontId="3" fillId="2" borderId="1" xfId="1" applyFont="1" applyFill="1" applyBorder="1" applyAlignment="1">
      <alignment horizontal="left" vertical="center" wrapText="1" indent="1"/>
    </xf>
    <xf numFmtId="44" fontId="3" fillId="3" borderId="1" xfId="1" applyFont="1" applyFill="1" applyBorder="1" applyAlignment="1">
      <alignment horizontal="left" vertical="center" wrapText="1" indent="1"/>
    </xf>
    <xf numFmtId="44" fontId="0" fillId="0" borderId="0" xfId="1" applyFont="1"/>
    <xf numFmtId="1" fontId="2" fillId="2" borderId="1" xfId="0" applyNumberFormat="1" applyFont="1" applyFill="1" applyBorder="1" applyAlignment="1">
      <alignment horizontal="left" vertical="center" wrapText="1" indent="1"/>
    </xf>
    <xf numFmtId="0" fontId="6" fillId="0" borderId="0" xfId="0" applyFont="1"/>
    <xf numFmtId="0" fontId="4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0" fillId="6" borderId="2" xfId="0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left" vertical="center" wrapText="1" indent="1"/>
      <protection locked="0"/>
    </xf>
  </cellXfs>
  <cellStyles count="2">
    <cellStyle name="Moeda" xfId="1" builtinId="4"/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000066"/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zoomScale="70" zoomScaleNormal="70" workbookViewId="0">
      <selection activeCell="G14" sqref="G14"/>
    </sheetView>
  </sheetViews>
  <sheetFormatPr defaultRowHeight="60.75" customHeight="1" x14ac:dyDescent="0.25"/>
  <cols>
    <col min="1" max="1" width="12.140625" bestFit="1" customWidth="1"/>
    <col min="2" max="2" width="45.42578125" bestFit="1" customWidth="1"/>
    <col min="3" max="3" width="27.7109375" style="8" bestFit="1" customWidth="1"/>
    <col min="4" max="4" width="12.5703125" bestFit="1" customWidth="1"/>
  </cols>
  <sheetData>
    <row r="1" spans="1:5" ht="18" thickBot="1" x14ac:dyDescent="0.3">
      <c r="A1" s="1" t="s">
        <v>0</v>
      </c>
      <c r="B1" s="1" t="s">
        <v>1</v>
      </c>
      <c r="C1" s="5" t="s">
        <v>2</v>
      </c>
      <c r="D1" s="1" t="s">
        <v>86</v>
      </c>
    </row>
    <row r="2" spans="1:5" ht="18" thickBot="1" x14ac:dyDescent="0.3">
      <c r="A2" s="1" t="s">
        <v>3</v>
      </c>
      <c r="B2" s="2" t="s">
        <v>4</v>
      </c>
      <c r="C2" s="6">
        <v>350</v>
      </c>
      <c r="D2" s="9">
        <v>32</v>
      </c>
      <c r="E2" s="10"/>
    </row>
    <row r="3" spans="1:5" ht="18" thickBot="1" x14ac:dyDescent="0.3">
      <c r="A3" s="3" t="s">
        <v>5</v>
      </c>
      <c r="B3" s="4" t="s">
        <v>6</v>
      </c>
      <c r="C3" s="7">
        <v>280</v>
      </c>
      <c r="D3" s="9">
        <v>5</v>
      </c>
    </row>
    <row r="4" spans="1:5" ht="18" thickBot="1" x14ac:dyDescent="0.3">
      <c r="A4" s="1" t="s">
        <v>7</v>
      </c>
      <c r="B4" s="2" t="s">
        <v>8</v>
      </c>
      <c r="C4" s="6">
        <v>950</v>
      </c>
      <c r="D4" s="9">
        <v>17</v>
      </c>
    </row>
    <row r="5" spans="1:5" ht="18" thickBot="1" x14ac:dyDescent="0.3">
      <c r="A5" s="3" t="s">
        <v>9</v>
      </c>
      <c r="B5" s="4" t="s">
        <v>10</v>
      </c>
      <c r="C5" s="7">
        <v>890</v>
      </c>
      <c r="D5" s="9">
        <v>92</v>
      </c>
    </row>
    <row r="6" spans="1:5" ht="18" thickBot="1" x14ac:dyDescent="0.3">
      <c r="A6" s="1" t="s">
        <v>11</v>
      </c>
      <c r="B6" s="2" t="s">
        <v>12</v>
      </c>
      <c r="C6" s="6">
        <v>720</v>
      </c>
      <c r="D6" s="9">
        <v>43</v>
      </c>
    </row>
    <row r="7" spans="1:5" ht="18" thickBot="1" x14ac:dyDescent="0.3">
      <c r="A7" s="3" t="s">
        <v>13</v>
      </c>
      <c r="B7" s="4" t="s">
        <v>14</v>
      </c>
      <c r="C7" s="7">
        <v>1850</v>
      </c>
      <c r="D7" s="9">
        <v>56</v>
      </c>
    </row>
    <row r="8" spans="1:5" ht="18" thickBot="1" x14ac:dyDescent="0.3">
      <c r="A8" s="1" t="s">
        <v>15</v>
      </c>
      <c r="B8" s="2" t="s">
        <v>16</v>
      </c>
      <c r="C8" s="6">
        <v>1450</v>
      </c>
      <c r="D8" s="9">
        <v>17</v>
      </c>
    </row>
    <row r="9" spans="1:5" ht="18" thickBot="1" x14ac:dyDescent="0.3">
      <c r="A9" s="3" t="s">
        <v>17</v>
      </c>
      <c r="B9" s="4" t="s">
        <v>18</v>
      </c>
      <c r="C9" s="7">
        <v>340</v>
      </c>
      <c r="D9" s="9">
        <v>24</v>
      </c>
    </row>
    <row r="10" spans="1:5" ht="18" thickBot="1" x14ac:dyDescent="0.3">
      <c r="A10" s="1" t="s">
        <v>19</v>
      </c>
      <c r="B10" s="2" t="s">
        <v>20</v>
      </c>
      <c r="C10" s="6">
        <v>260</v>
      </c>
      <c r="D10" s="9">
        <v>20</v>
      </c>
    </row>
    <row r="11" spans="1:5" ht="18" thickBot="1" x14ac:dyDescent="0.3">
      <c r="A11" s="3" t="s">
        <v>21</v>
      </c>
      <c r="B11" s="4" t="s">
        <v>22</v>
      </c>
      <c r="C11" s="7">
        <v>130</v>
      </c>
      <c r="D11" s="9">
        <v>67</v>
      </c>
    </row>
    <row r="12" spans="1:5" ht="18" thickBot="1" x14ac:dyDescent="0.3">
      <c r="A12" s="1" t="s">
        <v>23</v>
      </c>
      <c r="B12" s="2" t="s">
        <v>24</v>
      </c>
      <c r="C12" s="6">
        <v>380</v>
      </c>
      <c r="D12" s="9">
        <v>39</v>
      </c>
    </row>
    <row r="13" spans="1:5" ht="18" thickBot="1" x14ac:dyDescent="0.3">
      <c r="A13" s="3" t="s">
        <v>25</v>
      </c>
      <c r="B13" s="4" t="s">
        <v>26</v>
      </c>
      <c r="C13" s="7">
        <v>310</v>
      </c>
      <c r="D13" s="9">
        <v>29</v>
      </c>
    </row>
    <row r="14" spans="1:5" ht="18" thickBot="1" x14ac:dyDescent="0.3">
      <c r="A14" s="1" t="s">
        <v>27</v>
      </c>
      <c r="B14" s="2" t="s">
        <v>28</v>
      </c>
      <c r="C14" s="6">
        <v>180</v>
      </c>
      <c r="D14" s="9">
        <v>71</v>
      </c>
    </row>
    <row r="15" spans="1:5" ht="18" thickBot="1" x14ac:dyDescent="0.3">
      <c r="A15" s="3" t="s">
        <v>29</v>
      </c>
      <c r="B15" s="4" t="s">
        <v>30</v>
      </c>
      <c r="C15" s="7">
        <v>90</v>
      </c>
      <c r="D15" s="9">
        <v>50</v>
      </c>
    </row>
    <row r="16" spans="1:5" ht="18" thickBot="1" x14ac:dyDescent="0.3">
      <c r="A16" s="1" t="s">
        <v>31</v>
      </c>
      <c r="B16" s="2" t="s">
        <v>32</v>
      </c>
      <c r="C16" s="6">
        <v>220</v>
      </c>
      <c r="D16" s="9">
        <v>42</v>
      </c>
    </row>
    <row r="17" spans="1:4" ht="18" thickBot="1" x14ac:dyDescent="0.3">
      <c r="A17" s="3" t="s">
        <v>33</v>
      </c>
      <c r="B17" s="4" t="s">
        <v>34</v>
      </c>
      <c r="C17" s="7">
        <v>160</v>
      </c>
      <c r="D17" s="9">
        <v>63</v>
      </c>
    </row>
    <row r="18" spans="1:4" ht="18" thickBot="1" x14ac:dyDescent="0.3">
      <c r="A18" s="1" t="s">
        <v>35</v>
      </c>
      <c r="B18" s="2" t="s">
        <v>36</v>
      </c>
      <c r="C18" s="6">
        <v>65</v>
      </c>
      <c r="D18" s="9">
        <v>49</v>
      </c>
    </row>
    <row r="19" spans="1:4" ht="18" thickBot="1" x14ac:dyDescent="0.3">
      <c r="A19" s="3" t="s">
        <v>37</v>
      </c>
      <c r="B19" s="4" t="s">
        <v>38</v>
      </c>
      <c r="C19" s="7">
        <v>195</v>
      </c>
      <c r="D19" s="9">
        <v>18</v>
      </c>
    </row>
    <row r="20" spans="1:4" ht="18" thickBot="1" x14ac:dyDescent="0.3">
      <c r="A20" s="1" t="s">
        <v>39</v>
      </c>
      <c r="B20" s="2" t="s">
        <v>40</v>
      </c>
      <c r="C20" s="6">
        <v>950</v>
      </c>
      <c r="D20" s="9">
        <v>37</v>
      </c>
    </row>
    <row r="21" spans="1:4" ht="18" thickBot="1" x14ac:dyDescent="0.3">
      <c r="A21" s="3" t="s">
        <v>41</v>
      </c>
      <c r="B21" s="4" t="s">
        <v>42</v>
      </c>
      <c r="C21" s="7">
        <v>290</v>
      </c>
      <c r="D21" s="9">
        <v>21</v>
      </c>
    </row>
    <row r="22" spans="1:4" ht="18" thickBot="1" x14ac:dyDescent="0.3">
      <c r="A22" s="1" t="s">
        <v>43</v>
      </c>
      <c r="B22" s="2" t="s">
        <v>44</v>
      </c>
      <c r="C22" s="6">
        <v>140</v>
      </c>
      <c r="D22" s="9">
        <v>18</v>
      </c>
    </row>
    <row r="23" spans="1:4" ht="18" thickBot="1" x14ac:dyDescent="0.3">
      <c r="A23" s="3" t="s">
        <v>45</v>
      </c>
      <c r="B23" s="4" t="s">
        <v>46</v>
      </c>
      <c r="C23" s="7">
        <v>45</v>
      </c>
      <c r="D23" s="9">
        <v>31</v>
      </c>
    </row>
    <row r="24" spans="1:4" ht="18" thickBot="1" x14ac:dyDescent="0.3">
      <c r="A24" s="1" t="s">
        <v>47</v>
      </c>
      <c r="B24" s="2" t="s">
        <v>48</v>
      </c>
      <c r="C24" s="6">
        <v>55</v>
      </c>
      <c r="D24" s="9">
        <v>52</v>
      </c>
    </row>
    <row r="25" spans="1:4" ht="18" thickBot="1" x14ac:dyDescent="0.3">
      <c r="A25" s="3" t="s">
        <v>49</v>
      </c>
      <c r="B25" s="4" t="s">
        <v>50</v>
      </c>
      <c r="C25" s="7">
        <v>450</v>
      </c>
      <c r="D25" s="9">
        <v>52</v>
      </c>
    </row>
    <row r="26" spans="1:4" ht="18" thickBot="1" x14ac:dyDescent="0.3">
      <c r="A26" s="1" t="s">
        <v>51</v>
      </c>
      <c r="B26" s="2" t="s">
        <v>52</v>
      </c>
      <c r="C26" s="6">
        <v>100</v>
      </c>
      <c r="D26" s="9">
        <v>84</v>
      </c>
    </row>
    <row r="27" spans="1:4" ht="18" thickBot="1" x14ac:dyDescent="0.3">
      <c r="A27" s="3" t="s">
        <v>53</v>
      </c>
      <c r="B27" s="4" t="s">
        <v>54</v>
      </c>
      <c r="C27" s="7">
        <v>48</v>
      </c>
      <c r="D27" s="9">
        <v>39</v>
      </c>
    </row>
    <row r="28" spans="1:4" ht="18" thickBot="1" x14ac:dyDescent="0.3">
      <c r="A28" s="1" t="s">
        <v>55</v>
      </c>
      <c r="B28" s="2" t="s">
        <v>56</v>
      </c>
      <c r="C28" s="6">
        <v>60</v>
      </c>
      <c r="D28" s="9">
        <v>27</v>
      </c>
    </row>
    <row r="29" spans="1:4" ht="18" thickBot="1" x14ac:dyDescent="0.3">
      <c r="A29" s="3" t="s">
        <v>57</v>
      </c>
      <c r="B29" s="4" t="s">
        <v>58</v>
      </c>
      <c r="C29" s="7">
        <v>115</v>
      </c>
      <c r="D29" s="9">
        <v>56</v>
      </c>
    </row>
    <row r="30" spans="1:4" ht="18" thickBot="1" x14ac:dyDescent="0.3">
      <c r="A30" s="1" t="s">
        <v>59</v>
      </c>
      <c r="B30" s="2" t="s">
        <v>60</v>
      </c>
      <c r="C30" s="6">
        <v>850</v>
      </c>
      <c r="D30" s="9">
        <v>5</v>
      </c>
    </row>
    <row r="31" spans="1:4" ht="18" thickBot="1" x14ac:dyDescent="0.3">
      <c r="A31" s="3" t="s">
        <v>61</v>
      </c>
      <c r="B31" s="4" t="s">
        <v>62</v>
      </c>
      <c r="C31" s="7">
        <v>360</v>
      </c>
      <c r="D31" s="9">
        <v>81</v>
      </c>
    </row>
    <row r="32" spans="1:4" ht="18" thickBot="1" x14ac:dyDescent="0.3">
      <c r="A32" s="1" t="s">
        <v>63</v>
      </c>
      <c r="B32" s="2" t="s">
        <v>64</v>
      </c>
      <c r="C32" s="6">
        <v>85</v>
      </c>
      <c r="D32" s="9">
        <v>7</v>
      </c>
    </row>
    <row r="33" spans="1:4" ht="18" thickBot="1" x14ac:dyDescent="0.3">
      <c r="A33" s="3" t="s">
        <v>65</v>
      </c>
      <c r="B33" s="4" t="s">
        <v>66</v>
      </c>
      <c r="C33" s="7">
        <v>720</v>
      </c>
      <c r="D33" s="9">
        <v>4</v>
      </c>
    </row>
    <row r="34" spans="1:4" ht="18" thickBot="1" x14ac:dyDescent="0.3">
      <c r="A34" s="1" t="s">
        <v>67</v>
      </c>
      <c r="B34" s="2" t="s">
        <v>68</v>
      </c>
      <c r="C34" s="6">
        <v>1250</v>
      </c>
      <c r="D34" s="9">
        <v>69</v>
      </c>
    </row>
    <row r="35" spans="1:4" ht="18" thickBot="1" x14ac:dyDescent="0.3">
      <c r="A35" s="3" t="s">
        <v>69</v>
      </c>
      <c r="B35" s="4" t="s">
        <v>70</v>
      </c>
      <c r="C35" s="7">
        <v>1150</v>
      </c>
      <c r="D35" s="9">
        <v>59</v>
      </c>
    </row>
    <row r="36" spans="1:4" ht="18" thickBot="1" x14ac:dyDescent="0.3">
      <c r="A36" s="1" t="s">
        <v>71</v>
      </c>
      <c r="B36" s="2" t="s">
        <v>72</v>
      </c>
      <c r="C36" s="6">
        <v>680</v>
      </c>
      <c r="D36" s="9">
        <v>53</v>
      </c>
    </row>
    <row r="37" spans="1:4" ht="18" thickBot="1" x14ac:dyDescent="0.3">
      <c r="A37" s="3" t="s">
        <v>73</v>
      </c>
      <c r="B37" s="4" t="s">
        <v>74</v>
      </c>
      <c r="C37" s="7">
        <v>90</v>
      </c>
      <c r="D37" s="9">
        <v>69</v>
      </c>
    </row>
    <row r="38" spans="1:4" ht="18" thickBot="1" x14ac:dyDescent="0.3">
      <c r="A38" s="1" t="s">
        <v>75</v>
      </c>
      <c r="B38" s="2" t="s">
        <v>76</v>
      </c>
      <c r="C38" s="6">
        <v>105</v>
      </c>
      <c r="D38" s="9">
        <v>67</v>
      </c>
    </row>
    <row r="39" spans="1:4" ht="18" thickBot="1" x14ac:dyDescent="0.3">
      <c r="A39" s="3" t="s">
        <v>77</v>
      </c>
      <c r="B39" s="4" t="s">
        <v>78</v>
      </c>
      <c r="C39" s="7">
        <v>30</v>
      </c>
      <c r="D39" s="9">
        <v>57</v>
      </c>
    </row>
    <row r="40" spans="1:4" ht="18" thickBot="1" x14ac:dyDescent="0.3">
      <c r="A40" s="1" t="s">
        <v>79</v>
      </c>
      <c r="B40" s="2" t="s">
        <v>80</v>
      </c>
      <c r="C40" s="6">
        <v>70</v>
      </c>
      <c r="D40" s="9">
        <v>12</v>
      </c>
    </row>
    <row r="41" spans="1:4" ht="18" thickBot="1" x14ac:dyDescent="0.3">
      <c r="A41" s="3" t="s">
        <v>81</v>
      </c>
      <c r="B41" s="4" t="s">
        <v>82</v>
      </c>
      <c r="C41" s="7">
        <v>620</v>
      </c>
      <c r="D41" s="9">
        <v>1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="115" zoomScaleNormal="115" workbookViewId="0">
      <selection activeCell="A8" sqref="A8"/>
    </sheetView>
  </sheetViews>
  <sheetFormatPr defaultColWidth="18.28515625" defaultRowHeight="52.5" customHeight="1" x14ac:dyDescent="0.25"/>
  <cols>
    <col min="1" max="1" width="19.5703125" bestFit="1" customWidth="1"/>
    <col min="2" max="2" width="37.85546875" bestFit="1" customWidth="1"/>
    <col min="3" max="3" width="19.42578125" bestFit="1" customWidth="1"/>
    <col min="4" max="4" width="32.28515625" bestFit="1" customWidth="1"/>
  </cols>
  <sheetData>
    <row r="1" spans="1:3" ht="52.5" customHeight="1" thickBot="1" x14ac:dyDescent="0.3">
      <c r="A1" s="13" t="s">
        <v>87</v>
      </c>
      <c r="B1" s="13"/>
      <c r="C1" s="13"/>
    </row>
    <row r="2" spans="1:3" ht="40.5" customHeight="1" thickBot="1" x14ac:dyDescent="0.3">
      <c r="A2" s="12" t="s">
        <v>83</v>
      </c>
      <c r="B2" s="12" t="s">
        <v>84</v>
      </c>
      <c r="C2" s="12" t="s">
        <v>85</v>
      </c>
    </row>
    <row r="3" spans="1:3" ht="35.25" thickBot="1" x14ac:dyDescent="0.3">
      <c r="A3" s="14" t="s">
        <v>31</v>
      </c>
      <c r="B3" s="11" t="str">
        <f>IF(A3&lt;&gt;"",IFERROR(VLOOKUP($A3,database,2,FALSE),"Produto não encontrado..."),"")</f>
        <v>Headset Gamer 7.1 Surround</v>
      </c>
      <c r="C3" s="11">
        <f>IF(A3&lt;&gt;"",IFERROR(VLOOKUP($A3,database,4,FALSE),"Produto não encontrado..."),"")</f>
        <v>42</v>
      </c>
    </row>
    <row r="4" spans="1:3" ht="18" thickBot="1" x14ac:dyDescent="0.3">
      <c r="A4" s="14" t="s">
        <v>37</v>
      </c>
      <c r="B4" s="11" t="str">
        <f>IF(A4&lt;&gt;"",IFERROR(VLOOKUP($A4,database,2,FALSE),"Produto não encontrado..."),"")</f>
        <v>Suporte Articulado para Monitor</v>
      </c>
      <c r="C4" s="11">
        <f>IF(A4&lt;&gt;"",IFERROR(VLOOKUP($A4,database,4,FALSE),"Produto não encontrado..."),"")</f>
        <v>18</v>
      </c>
    </row>
    <row r="5" spans="1:3" ht="18" thickBot="1" x14ac:dyDescent="0.3">
      <c r="A5" s="14" t="s">
        <v>13</v>
      </c>
      <c r="B5" s="11" t="str">
        <f>IF(A5&lt;&gt;"",IFERROR(VLOOKUP($A5,database,2,FALSE),"Produto não encontrado..."),"")</f>
        <v>Placa de Vídeo RTX 3060 12GB</v>
      </c>
      <c r="C5" s="11">
        <f>IF(A5&lt;&gt;"",IFERROR(VLOOKUP($A5,database,4,FALSE),"Produto não encontrado..."),"")</f>
        <v>56</v>
      </c>
    </row>
    <row r="6" spans="1:3" ht="18" thickBot="1" x14ac:dyDescent="0.3">
      <c r="A6" s="14" t="s">
        <v>69</v>
      </c>
      <c r="B6" s="11" t="str">
        <f>IF(A6&lt;&gt;"",IFERROR(VLOOKUP($A6,database,2,FALSE),"Produto não encontrado..."),"")</f>
        <v>Monitor Ultrawide 29"</v>
      </c>
      <c r="C6" s="11">
        <f>IF(A6&lt;&gt;"",IFERROR(VLOOKUP($A6,database,4,FALSE),"Produto não encontrado..."),"")</f>
        <v>59</v>
      </c>
    </row>
    <row r="7" spans="1:3" ht="18" thickBot="1" x14ac:dyDescent="0.3">
      <c r="A7" s="14" t="s">
        <v>65</v>
      </c>
      <c r="B7" s="11" t="str">
        <f>IF(A7&lt;&gt;"",IFERROR(VLOOKUP($A7,database,2,FALSE),"Produto não encontrado..."),"")</f>
        <v>Monitor LED 24" Full HD</v>
      </c>
      <c r="C7" s="11">
        <f>IF(A7&lt;&gt;"",IFERROR(VLOOKUP($A7,database,4,FALSE),"Produto não encontrado..."),"")</f>
        <v>4</v>
      </c>
    </row>
    <row r="8" spans="1:3" ht="18" thickBot="1" x14ac:dyDescent="0.3">
      <c r="A8" s="14"/>
      <c r="B8" s="11" t="str">
        <f>IF(A8&lt;&gt;"",IFERROR(VLOOKUP($A8,database,2,FALSE),"Produto não encontrado..."),"")</f>
        <v/>
      </c>
      <c r="C8" s="11" t="str">
        <f>IF(A8&lt;&gt;"",IFERROR(VLOOKUP($A8,database,4,FALSE),"Produto não encontrado..."),"")</f>
        <v/>
      </c>
    </row>
    <row r="9" spans="1:3" ht="18" thickBot="1" x14ac:dyDescent="0.3">
      <c r="A9" s="14"/>
      <c r="B9" s="11" t="str">
        <f>IF(A9&lt;&gt;"",IFERROR(VLOOKUP($A9,database,2,FALSE),"Produto não encontrado..."),"")</f>
        <v/>
      </c>
      <c r="C9" s="11" t="str">
        <f>IF(A9&lt;&gt;"",IFERROR(VLOOKUP($A9,database,4,FALSE),"Produto não encontrado..."),"")</f>
        <v/>
      </c>
    </row>
    <row r="10" spans="1:3" ht="18" thickBot="1" x14ac:dyDescent="0.3">
      <c r="A10" s="14"/>
      <c r="B10" s="11" t="str">
        <f>IF(A10&lt;&gt;"",IFERROR(VLOOKUP($A10,database,2,FALSE),"Produto não encontrado..."),"")</f>
        <v/>
      </c>
      <c r="C10" s="11" t="str">
        <f>IF(A10&lt;&gt;"",IFERROR(VLOOKUP($A10,database,4,FALSE),"Produto não encontrado..."),"")</f>
        <v/>
      </c>
    </row>
    <row r="11" spans="1:3" ht="18" thickBot="1" x14ac:dyDescent="0.3">
      <c r="A11" s="14"/>
      <c r="B11" s="11" t="str">
        <f>IF(A11&lt;&gt;"",IFERROR(VLOOKUP($A11,database,2,FALSE),"Produto não encontrado..."),"")</f>
        <v/>
      </c>
      <c r="C11" s="11" t="str">
        <f>IF(A11&lt;&gt;"",IFERROR(VLOOKUP($A11,database,4,FALSE),"Produto não encontrado..."),"")</f>
        <v/>
      </c>
    </row>
    <row r="12" spans="1:3" ht="18" thickBot="1" x14ac:dyDescent="0.3">
      <c r="A12" s="14"/>
      <c r="B12" s="11" t="str">
        <f>IF(A12&lt;&gt;"",IFERROR(VLOOKUP($A12,database,2,FALSE),"Produto não encontrado..."),"")</f>
        <v/>
      </c>
      <c r="C12" s="11" t="str">
        <f>IF(A12&lt;&gt;"",IFERROR(VLOOKUP($A12,database,4,FALSE),"Produto não encontrado..."),"")</f>
        <v/>
      </c>
    </row>
    <row r="13" spans="1:3" ht="18" thickBot="1" x14ac:dyDescent="0.3">
      <c r="A13" s="14"/>
      <c r="B13" s="14"/>
      <c r="C13" s="14"/>
    </row>
    <row r="14" spans="1:3" ht="18" thickBot="1" x14ac:dyDescent="0.3">
      <c r="A14" s="14"/>
      <c r="B14" s="14"/>
      <c r="C14" s="14"/>
    </row>
    <row r="15" spans="1:3" ht="18" thickBot="1" x14ac:dyDescent="0.3">
      <c r="A15" s="14"/>
      <c r="B15" s="14"/>
      <c r="C15" s="14"/>
    </row>
    <row r="16" spans="1:3" ht="18" thickBot="1" x14ac:dyDescent="0.3">
      <c r="A16" s="14"/>
      <c r="B16" s="14"/>
      <c r="C16" s="14"/>
    </row>
    <row r="17" spans="1:3" ht="18" thickBot="1" x14ac:dyDescent="0.3">
      <c r="A17" s="14"/>
      <c r="B17" s="14"/>
      <c r="C17" s="14"/>
    </row>
    <row r="18" spans="1:3" ht="18" thickBot="1" x14ac:dyDescent="0.3">
      <c r="A18" s="14"/>
      <c r="B18" s="14"/>
      <c r="C18" s="14"/>
    </row>
  </sheetData>
  <sheetProtection algorithmName="SHA-512" hashValue="5cIfXogxpeuqoCWOTgOJ8QrBEd4TypsPf6ihp8RtEND1fMmhD6oot4HMFbAaAwO5MenOplsp1RfFgbtC5nQc0g==" saltValue="6tD4K7Ic9D3WlBkh8OFcog==" spinCount="100000" sheet="1" objects="1" scenarios="1" selectLockedCells="1"/>
  <mergeCells count="1">
    <mergeCell ref="A1:C1"/>
  </mergeCells>
  <conditionalFormatting sqref="C3:C12">
    <cfRule type="iconSet" priority="1">
      <iconSet>
        <cfvo type="percent" val="0"/>
        <cfvo type="num" val="10"/>
        <cfvo type="num" val="50"/>
      </iconSet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2026-04-09T22:21:24Z</dcterms:created>
  <dcterms:modified xsi:type="dcterms:W3CDTF">2026-04-09T23:30:24Z</dcterms:modified>
</cp:coreProperties>
</file>